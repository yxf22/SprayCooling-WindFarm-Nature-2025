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重量与质量流率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"/>
    <numFmt numFmtId="166" formatCode="0.000"/>
  </numFmts>
  <fonts count="5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b val="1"/>
      <color rgb="FFFFFFFF"/>
      <sz val="11"/>
    </font>
    <font>
      <name val="Carlito"/>
      <i val="1"/>
      <color rgb="FF555555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7F7"/>
      </patternFill>
    </fill>
  </fills>
  <borders count="18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11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166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" fontId="0" fillId="0" borderId="8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2" fontId="0" fillId="0" borderId="8" applyAlignment="1" pivotButton="0" quotePrefix="0" xfId="0">
      <alignment horizontal="center"/>
    </xf>
    <xf numFmtId="165" fontId="0" fillId="0" borderId="8" applyAlignment="1" pivotButton="0" quotePrefix="0" xfId="0">
      <alignment horizontal="center"/>
    </xf>
    <xf numFmtId="166" fontId="0" fillId="0" borderId="9" applyAlignment="1" pivotButton="0" quotePrefix="0" xfId="0">
      <alignment horizontal="center"/>
    </xf>
    <xf numFmtId="0" fontId="2" fillId="3" borderId="10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166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1" fontId="0" fillId="0" borderId="16" applyAlignment="1" pivotButton="0" quotePrefix="0" xfId="0">
      <alignment horizontal="center"/>
    </xf>
    <xf numFmtId="164" fontId="0" fillId="0" borderId="16" applyAlignment="1" pivotButton="0" quotePrefix="0" xfId="0">
      <alignment horizontal="center"/>
    </xf>
    <xf numFmtId="2" fontId="0" fillId="0" borderId="16" applyAlignment="1" pivotButton="0" quotePrefix="0" xfId="0">
      <alignment horizontal="center"/>
    </xf>
    <xf numFmtId="165" fontId="0" fillId="0" borderId="16" applyAlignment="1" pivotButton="0" quotePrefix="0" xfId="0">
      <alignment horizontal="center"/>
    </xf>
    <xf numFmtId="166" fontId="0" fillId="0" borderId="17" applyAlignment="1" pivotButton="0" quotePrefix="0" xfId="0">
      <alignment horizontal="center"/>
    </xf>
    <xf numFmtId="0" fontId="2" fillId="0" borderId="2" pivotButton="0" quotePrefix="0" xfId="0"/>
    <xf numFmtId="2" fontId="0" fillId="0" borderId="4" pivotButton="0" quotePrefix="0" xfId="0"/>
    <xf numFmtId="0" fontId="2" fillId="0" borderId="5" pivotButton="0" quotePrefix="0" xfId="0"/>
    <xf numFmtId="2" fontId="0" fillId="0" borderId="6" pivotButton="0" quotePrefix="0" xfId="0"/>
    <xf numFmtId="1" fontId="0" fillId="0" borderId="6" pivotButton="0" quotePrefix="0" xfId="0"/>
    <xf numFmtId="164" fontId="0" fillId="0" borderId="6" pivotButton="0" quotePrefix="0" xfId="0"/>
    <xf numFmtId="165" fontId="0" fillId="0" borderId="6" pivotButton="0" quotePrefix="0" xfId="0"/>
    <xf numFmtId="0" fontId="2" fillId="0" borderId="7" pivotButton="0" quotePrefix="0" xfId="0"/>
    <xf numFmtId="166" fontId="0" fillId="0" borderId="9" pivotButton="0" quotePrefix="0" xfId="0"/>
    <xf numFmtId="0" fontId="2" fillId="0" borderId="10" pivotButton="0" quotePrefix="0" xfId="0"/>
    <xf numFmtId="2" fontId="0" fillId="0" borderId="12" pivotButton="0" quotePrefix="0" xfId="0"/>
    <xf numFmtId="0" fontId="2" fillId="0" borderId="13" pivotButton="0" quotePrefix="0" xfId="0"/>
    <xf numFmtId="2" fontId="0" fillId="0" borderId="14" pivotButton="0" quotePrefix="0" xfId="0"/>
    <xf numFmtId="1" fontId="0" fillId="0" borderId="14" pivotButton="0" quotePrefix="0" xfId="0"/>
    <xf numFmtId="164" fontId="0" fillId="0" borderId="14" pivotButton="0" quotePrefix="0" xfId="0"/>
    <xf numFmtId="165" fontId="0" fillId="0" borderId="14" pivotButton="0" quotePrefix="0" xfId="0"/>
    <xf numFmtId="0" fontId="2" fillId="0" borderId="15" pivotButton="0" quotePrefix="0" xfId="0"/>
    <xf numFmtId="166" fontId="0" fillId="0" borderId="17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2" fontId="0" fillId="0" borderId="4" pivotButton="0" quotePrefix="0" xfId="0"/>
    <xf numFmtId="2" fontId="0" fillId="0" borderId="6" pivotButton="0" quotePrefix="0" xfId="0"/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6" applyAlignment="1" pivotButton="0" quotePrefix="0" xfId="0">
      <alignment horizontal="center"/>
    </xf>
    <xf numFmtId="1" fontId="0" fillId="0" borderId="6" pivotButton="0" quotePrefix="0" xfId="0"/>
    <xf numFmtId="164" fontId="0" fillId="0" borderId="6" pivotButton="0" quotePrefix="0" xfId="0"/>
    <xf numFmtId="165" fontId="0" fillId="0" borderId="6" pivotButton="0" quotePrefix="0" xfId="0"/>
    <xf numFmtId="166" fontId="0" fillId="0" borderId="9" pivotButton="0" quotePrefix="0" xfId="0"/>
    <xf numFmtId="0" fontId="4" fillId="4" borderId="1" applyAlignment="1" pivotButton="0" quotePrefix="0" xfId="0">
      <alignment vertical="center" wrapText="1"/>
    </xf>
    <xf numFmtId="1" fontId="0" fillId="0" borderId="8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2" fontId="0" fillId="0" borderId="8" applyAlignment="1" pivotButton="0" quotePrefix="0" xfId="0">
      <alignment horizontal="center"/>
    </xf>
    <xf numFmtId="165" fontId="0" fillId="0" borderId="8" applyAlignment="1" pivotButton="0" quotePrefix="0" xfId="0">
      <alignment horizontal="center"/>
    </xf>
    <xf numFmtId="166" fontId="0" fillId="0" borderId="9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重量—时间曲线</a:t>
            </a:r>
          </a:p>
        </rich>
      </tx>
    </title>
    <plotArea>
      <lineChart>
        <grouping val="standard"/>
        <ser>
          <idx val="0"/>
          <order val="0"/>
          <tx>
            <v>重量 (kg)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'重量与质量流率'!$C$4:$C$76</f>
              <strCache>
                <ptCount val="0"/>
              </strCache>
            </strRef>
          </cat>
          <val>
            <numRef>
              <f>'重量与质量流率'!$D$4:$D$76</f>
              <numCache>
                <formatCode>0.00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时间 (min)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  <a:r>
                <a:t/>
              </a:r>
            </a:p>
          </txPr>
        </title>
        <numFmt formatCode="0.0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重量 (kg)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  <a:r>
                <a:t/>
              </a:r>
            </a:p>
          </txPr>
        </title>
        <numFmt formatCode="0.00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9</row>
      <rowOff>0</rowOff>
    </from>
    <to>
      <col>18</col>
      <colOff>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WeightFlowTable" displayName="WeightFlowTable" ref="A3:G76" headerRowCount="1" totalsRowCount="0" totalsRowShown="0">
  <tableColumns count="7">
    <tableColumn id="1" name="时间"/>
    <tableColumn id="2" name="时间 (s)"/>
    <tableColumn id="3" name="时间 (min)"/>
    <tableColumn id="4" name="重量 (kg)"/>
    <tableColumn id="5" name="30秒减重量 (kg)"/>
    <tableColumn id="6" name="减重速率 / 质量流率 (kg/s)"/>
    <tableColumn id="7" name="质量流率 (kg/m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" customWidth="1" min="4" max="4"/>
    <col width="18" customWidth="1" min="5" max="5"/>
    <col width="27" customWidth="1" min="6" max="6"/>
    <col width="18" customWidth="1" min="7" max="7"/>
    <col width="24" customWidth="1" min="9" max="9"/>
    <col width="16" customWidth="1" min="10" max="10"/>
  </cols>
  <sheetData>
    <row r="1" ht="28" customHeight="1">
      <c r="A1" s="9" t="inlineStr">
        <is>
          <t>Mass Flow Rate Analysis from Video Recordings</t>
        </is>
      </c>
      <c r="B1" s="1" t="n"/>
      <c r="C1" s="1" t="n"/>
      <c r="D1" s="1" t="n"/>
      <c r="E1" s="1" t="n"/>
      <c r="F1" s="1" t="n"/>
      <c r="G1" s="1" t="n"/>
      <c r="I1" s="25" t="inlineStr">
        <is>
          <t>Summary metrics</t>
        </is>
      </c>
      <c r="J1" s="1" t="n"/>
    </row>
    <row r="2">
      <c r="I2" s="72" t="inlineStr">
        <is>
          <t>Initial weight (kg)</t>
        </is>
      </c>
      <c r="J2" s="94">
        <f>D4</f>
        <v/>
      </c>
    </row>
    <row r="3" ht="32" customHeight="1">
      <c r="A3" s="50" t="inlineStr">
        <is>
          <t>Time</t>
        </is>
      </c>
      <c r="B3" s="51" t="inlineStr">
        <is>
          <t>Time (s)</t>
        </is>
      </c>
      <c r="C3" s="51" t="inlineStr">
        <is>
          <t>Time (min)</t>
        </is>
      </c>
      <c r="D3" s="51" t="inlineStr">
        <is>
          <t>Weight (kg)</t>
        </is>
      </c>
      <c r="E3" s="51" t="inlineStr">
        <is>
          <t>Weight loss per 30 s (kg)</t>
        </is>
      </c>
      <c r="F3" s="51" t="inlineStr">
        <is>
          <t>Mass flow rate (kg/s)</t>
        </is>
      </c>
      <c r="G3" s="52" t="inlineStr">
        <is>
          <t>Mass flow rate (kg/min)</t>
        </is>
      </c>
      <c r="I3" s="74" t="inlineStr">
        <is>
          <t>Final weight (kg)</t>
        </is>
      </c>
      <c r="J3" s="95">
        <f>D76</f>
        <v/>
      </c>
    </row>
    <row r="4">
      <c r="A4" s="53" t="inlineStr">
        <is>
          <t>00:00</t>
        </is>
      </c>
      <c r="B4" s="96" t="n">
        <v>0</v>
      </c>
      <c r="C4" s="97" t="n">
        <v>0</v>
      </c>
      <c r="D4" s="98" t="n">
        <v>50.5</v>
      </c>
      <c r="E4" s="98" t="n"/>
      <c r="F4" s="99" t="n"/>
      <c r="G4" s="100" t="n"/>
      <c r="I4" s="74" t="inlineStr">
        <is>
          <t>Total weight loss (kg)</t>
        </is>
      </c>
      <c r="J4" s="95">
        <f>D4-D76</f>
        <v/>
      </c>
    </row>
    <row r="5">
      <c r="A5" s="53" t="inlineStr">
        <is>
          <t>00:30</t>
        </is>
      </c>
      <c r="B5" s="96" t="n">
        <v>30</v>
      </c>
      <c r="C5" s="97" t="n">
        <v>0.5</v>
      </c>
      <c r="D5" s="98" t="n">
        <v>50.35</v>
      </c>
      <c r="E5" s="98">
        <f>D4-D5</f>
        <v/>
      </c>
      <c r="F5" s="99">
        <f>E5/(B5-B4)</f>
        <v/>
      </c>
      <c r="G5" s="100">
        <f>F5*60</f>
        <v/>
      </c>
      <c r="I5" s="74" t="inlineStr">
        <is>
          <t>Duration (s)</t>
        </is>
      </c>
      <c r="J5" s="101">
        <f>B76-B4</f>
        <v/>
      </c>
    </row>
    <row r="6">
      <c r="A6" s="53" t="inlineStr">
        <is>
          <t>01:00</t>
        </is>
      </c>
      <c r="B6" s="96" t="n">
        <v>60</v>
      </c>
      <c r="C6" s="97" t="n">
        <v>1</v>
      </c>
      <c r="D6" s="98" t="n">
        <v>50.15</v>
      </c>
      <c r="E6" s="98">
        <f>D5-D6</f>
        <v/>
      </c>
      <c r="F6" s="99">
        <f>E6/(B6-B5)</f>
        <v/>
      </c>
      <c r="G6" s="100">
        <f>F6*60</f>
        <v/>
      </c>
      <c r="I6" s="74" t="inlineStr">
        <is>
          <t>Duration (min)</t>
        </is>
      </c>
      <c r="J6" s="102">
        <f>J5/60</f>
        <v/>
      </c>
    </row>
    <row r="7">
      <c r="A7" s="53" t="inlineStr">
        <is>
          <t>01:30</t>
        </is>
      </c>
      <c r="B7" s="96" t="n">
        <v>90</v>
      </c>
      <c r="C7" s="97" t="n">
        <v>1.5</v>
      </c>
      <c r="D7" s="98" t="n">
        <v>50</v>
      </c>
      <c r="E7" s="98">
        <f>D6-D7</f>
        <v/>
      </c>
      <c r="F7" s="99">
        <f>E7/(B7-B6)</f>
        <v/>
      </c>
      <c r="G7" s="100">
        <f>F7*60</f>
        <v/>
      </c>
      <c r="I7" s="74" t="inlineStr">
        <is>
          <t>Average mass flow rate (kg/s)</t>
        </is>
      </c>
      <c r="J7" s="103">
        <f>J4/J5</f>
        <v/>
      </c>
    </row>
    <row r="8">
      <c r="A8" s="53" t="inlineStr">
        <is>
          <t>02:00</t>
        </is>
      </c>
      <c r="B8" s="96" t="n">
        <v>120</v>
      </c>
      <c r="C8" s="97" t="n">
        <v>2</v>
      </c>
      <c r="D8" s="98" t="n">
        <v>49.8</v>
      </c>
      <c r="E8" s="98">
        <f>D7-D8</f>
        <v/>
      </c>
      <c r="F8" s="99">
        <f>E8/(B8-B7)</f>
        <v/>
      </c>
      <c r="G8" s="100">
        <f>F8*60</f>
        <v/>
      </c>
      <c r="I8" s="79" t="inlineStr">
        <is>
          <t>Average mass flow rate (kg/min)</t>
        </is>
      </c>
      <c r="J8" s="104">
        <f>J7*60</f>
        <v/>
      </c>
    </row>
    <row r="9">
      <c r="A9" s="53" t="inlineStr">
        <is>
          <t>02:30</t>
        </is>
      </c>
      <c r="B9" s="96" t="n">
        <v>150</v>
      </c>
      <c r="C9" s="97" t="n">
        <v>2.5</v>
      </c>
      <c r="D9" s="98" t="n">
        <v>49.65</v>
      </c>
      <c r="E9" s="98">
        <f>D8-D9</f>
        <v/>
      </c>
      <c r="F9" s="99">
        <f>E9/(B9-B8)</f>
        <v/>
      </c>
      <c r="G9" s="100">
        <f>F9*60</f>
        <v/>
      </c>
    </row>
    <row r="10">
      <c r="A10" s="53" t="inlineStr">
        <is>
          <t>03:00</t>
        </is>
      </c>
      <c r="B10" s="96" t="n">
        <v>180</v>
      </c>
      <c r="C10" s="97" t="n">
        <v>3</v>
      </c>
      <c r="D10" s="98" t="n">
        <v>49.5</v>
      </c>
      <c r="E10" s="98">
        <f>D9-D10</f>
        <v/>
      </c>
      <c r="F10" s="99">
        <f>E10/(B10-B9)</f>
        <v/>
      </c>
      <c r="G10" s="100">
        <f>F10*60</f>
        <v/>
      </c>
    </row>
    <row r="11">
      <c r="A11" s="53" t="inlineStr">
        <is>
          <t>03:30</t>
        </is>
      </c>
      <c r="B11" s="96" t="n">
        <v>210</v>
      </c>
      <c r="C11" s="97" t="n">
        <v>3.5</v>
      </c>
      <c r="D11" s="98" t="n">
        <v>49.3</v>
      </c>
      <c r="E11" s="98">
        <f>D10-D11</f>
        <v/>
      </c>
      <c r="F11" s="99">
        <f>E11/(B11-B10)</f>
        <v/>
      </c>
      <c r="G11" s="100">
        <f>F11*60</f>
        <v/>
      </c>
    </row>
    <row r="12">
      <c r="A12" s="53" t="inlineStr">
        <is>
          <t>04:00</t>
        </is>
      </c>
      <c r="B12" s="96" t="n">
        <v>240</v>
      </c>
      <c r="C12" s="97" t="n">
        <v>4</v>
      </c>
      <c r="D12" s="98" t="n">
        <v>49.15</v>
      </c>
      <c r="E12" s="98">
        <f>D11-D12</f>
        <v/>
      </c>
      <c r="F12" s="99">
        <f>E12/(B12-B11)</f>
        <v/>
      </c>
      <c r="G12" s="100">
        <f>F12*60</f>
        <v/>
      </c>
    </row>
    <row r="13">
      <c r="A13" s="53" t="inlineStr">
        <is>
          <t>04:30</t>
        </is>
      </c>
      <c r="B13" s="96" t="n">
        <v>270</v>
      </c>
      <c r="C13" s="97" t="n">
        <v>4.5</v>
      </c>
      <c r="D13" s="98" t="n">
        <v>49</v>
      </c>
      <c r="E13" s="98">
        <f>D12-D13</f>
        <v/>
      </c>
      <c r="F13" s="99">
        <f>E13/(B13-B12)</f>
        <v/>
      </c>
      <c r="G13" s="100">
        <f>F13*60</f>
        <v/>
      </c>
    </row>
    <row r="14">
      <c r="A14" s="53" t="inlineStr">
        <is>
          <t>05:00</t>
        </is>
      </c>
      <c r="B14" s="96" t="n">
        <v>300</v>
      </c>
      <c r="C14" s="97" t="n">
        <v>5</v>
      </c>
      <c r="D14" s="98" t="n">
        <v>48.8</v>
      </c>
      <c r="E14" s="98">
        <f>D13-D14</f>
        <v/>
      </c>
      <c r="F14" s="99">
        <f>E14/(B14-B13)</f>
        <v/>
      </c>
      <c r="G14" s="100">
        <f>F14*60</f>
        <v/>
      </c>
    </row>
    <row r="15">
      <c r="A15" s="53" t="inlineStr">
        <is>
          <t>05:30</t>
        </is>
      </c>
      <c r="B15" s="96" t="n">
        <v>330</v>
      </c>
      <c r="C15" s="97" t="n">
        <v>5.5</v>
      </c>
      <c r="D15" s="98" t="n">
        <v>48.65</v>
      </c>
      <c r="E15" s="98">
        <f>D14-D15</f>
        <v/>
      </c>
      <c r="F15" s="99">
        <f>E15/(B15-B14)</f>
        <v/>
      </c>
      <c r="G15" s="100">
        <f>F15*60</f>
        <v/>
      </c>
    </row>
    <row r="16">
      <c r="A16" s="53" t="inlineStr">
        <is>
          <t>06:00</t>
        </is>
      </c>
      <c r="B16" s="96" t="n">
        <v>360</v>
      </c>
      <c r="C16" s="97" t="n">
        <v>6</v>
      </c>
      <c r="D16" s="98" t="n">
        <v>48.5</v>
      </c>
      <c r="E16" s="98">
        <f>D15-D16</f>
        <v/>
      </c>
      <c r="F16" s="99">
        <f>E16/(B16-B15)</f>
        <v/>
      </c>
      <c r="G16" s="100">
        <f>F16*60</f>
        <v/>
      </c>
    </row>
    <row r="17">
      <c r="A17" s="53" t="inlineStr">
        <is>
          <t>06:30</t>
        </is>
      </c>
      <c r="B17" s="96" t="n">
        <v>390</v>
      </c>
      <c r="C17" s="97" t="n">
        <v>6.5</v>
      </c>
      <c r="D17" s="98" t="n">
        <v>48.35</v>
      </c>
      <c r="E17" s="98">
        <f>D16-D17</f>
        <v/>
      </c>
      <c r="F17" s="99">
        <f>E17/(B17-B16)</f>
        <v/>
      </c>
      <c r="G17" s="100">
        <f>F17*60</f>
        <v/>
      </c>
    </row>
    <row r="18">
      <c r="A18" s="53" t="inlineStr">
        <is>
          <t>07:00</t>
        </is>
      </c>
      <c r="B18" s="96" t="n">
        <v>420</v>
      </c>
      <c r="C18" s="97" t="n">
        <v>7</v>
      </c>
      <c r="D18" s="98" t="n">
        <v>48.15</v>
      </c>
      <c r="E18" s="98">
        <f>D17-D18</f>
        <v/>
      </c>
      <c r="F18" s="99">
        <f>E18/(B18-B17)</f>
        <v/>
      </c>
      <c r="G18" s="100">
        <f>F18*60</f>
        <v/>
      </c>
    </row>
    <row r="19">
      <c r="A19" s="53" t="inlineStr">
        <is>
          <t>07:30</t>
        </is>
      </c>
      <c r="B19" s="96" t="n">
        <v>450</v>
      </c>
      <c r="C19" s="97" t="n">
        <v>7.5</v>
      </c>
      <c r="D19" s="98" t="n">
        <v>48</v>
      </c>
      <c r="E19" s="98">
        <f>D18-D19</f>
        <v/>
      </c>
      <c r="F19" s="99">
        <f>E19/(B19-B18)</f>
        <v/>
      </c>
      <c r="G19" s="100">
        <f>F19*60</f>
        <v/>
      </c>
    </row>
    <row r="20">
      <c r="A20" s="53" t="inlineStr">
        <is>
          <t>08:00</t>
        </is>
      </c>
      <c r="B20" s="96" t="n">
        <v>480</v>
      </c>
      <c r="C20" s="97" t="n">
        <v>8</v>
      </c>
      <c r="D20" s="98" t="n">
        <v>47.85</v>
      </c>
      <c r="E20" s="98">
        <f>D19-D20</f>
        <v/>
      </c>
      <c r="F20" s="99">
        <f>E20/(B20-B19)</f>
        <v/>
      </c>
      <c r="G20" s="100">
        <f>F20*60</f>
        <v/>
      </c>
    </row>
    <row r="21">
      <c r="A21" s="53" t="inlineStr">
        <is>
          <t>08:30</t>
        </is>
      </c>
      <c r="B21" s="96" t="n">
        <v>510</v>
      </c>
      <c r="C21" s="97" t="n">
        <v>8.5</v>
      </c>
      <c r="D21" s="98" t="n">
        <v>47.65</v>
      </c>
      <c r="E21" s="98">
        <f>D20-D21</f>
        <v/>
      </c>
      <c r="F21" s="99">
        <f>E21/(B21-B20)</f>
        <v/>
      </c>
      <c r="G21" s="100">
        <f>F21*60</f>
        <v/>
      </c>
    </row>
    <row r="22">
      <c r="A22" s="53" t="inlineStr">
        <is>
          <t>09:00</t>
        </is>
      </c>
      <c r="B22" s="96" t="n">
        <v>540</v>
      </c>
      <c r="C22" s="97" t="n">
        <v>9</v>
      </c>
      <c r="D22" s="98" t="n">
        <v>47.5</v>
      </c>
      <c r="E22" s="98">
        <f>D21-D22</f>
        <v/>
      </c>
      <c r="F22" s="99">
        <f>E22/(B22-B21)</f>
        <v/>
      </c>
      <c r="G22" s="100">
        <f>F22*60</f>
        <v/>
      </c>
    </row>
    <row r="23">
      <c r="A23" s="53" t="inlineStr">
        <is>
          <t>09:30</t>
        </is>
      </c>
      <c r="B23" s="96" t="n">
        <v>570</v>
      </c>
      <c r="C23" s="97" t="n">
        <v>9.5</v>
      </c>
      <c r="D23" s="98" t="n">
        <v>47.3</v>
      </c>
      <c r="E23" s="98">
        <f>D22-D23</f>
        <v/>
      </c>
      <c r="F23" s="99">
        <f>E23/(B23-B22)</f>
        <v/>
      </c>
      <c r="G23" s="100">
        <f>F23*60</f>
        <v/>
      </c>
    </row>
    <row r="24">
      <c r="A24" s="53" t="inlineStr">
        <is>
          <t>10:00</t>
        </is>
      </c>
      <c r="B24" s="96" t="n">
        <v>600</v>
      </c>
      <c r="C24" s="97" t="n">
        <v>10</v>
      </c>
      <c r="D24" s="98" t="n">
        <v>47.1</v>
      </c>
      <c r="E24" s="98">
        <f>D23-D24</f>
        <v/>
      </c>
      <c r="F24" s="99">
        <f>E24/(B24-B23)</f>
        <v/>
      </c>
      <c r="G24" s="100">
        <f>F24*60</f>
        <v/>
      </c>
    </row>
    <row r="25">
      <c r="A25" s="53" t="inlineStr">
        <is>
          <t>10:30</t>
        </is>
      </c>
      <c r="B25" s="96" t="n">
        <v>630</v>
      </c>
      <c r="C25" s="97" t="n">
        <v>10.5</v>
      </c>
      <c r="D25" s="98" t="n">
        <v>46.95</v>
      </c>
      <c r="E25" s="98">
        <f>D24-D25</f>
        <v/>
      </c>
      <c r="F25" s="99">
        <f>E25/(B25-B24)</f>
        <v/>
      </c>
      <c r="G25" s="100">
        <f>F25*60</f>
        <v/>
      </c>
    </row>
    <row r="26">
      <c r="A26" s="53" t="inlineStr">
        <is>
          <t>11:00</t>
        </is>
      </c>
      <c r="B26" s="96" t="n">
        <v>660</v>
      </c>
      <c r="C26" s="97" t="n">
        <v>11</v>
      </c>
      <c r="D26" s="98" t="n">
        <v>46.75</v>
      </c>
      <c r="E26" s="98">
        <f>D25-D26</f>
        <v/>
      </c>
      <c r="F26" s="99">
        <f>E26/(B26-B25)</f>
        <v/>
      </c>
      <c r="G26" s="100">
        <f>F26*60</f>
        <v/>
      </c>
    </row>
    <row r="27">
      <c r="A27" s="53" t="inlineStr">
        <is>
          <t>11:30</t>
        </is>
      </c>
      <c r="B27" s="96" t="n">
        <v>690</v>
      </c>
      <c r="C27" s="97" t="n">
        <v>11.5</v>
      </c>
      <c r="D27" s="98" t="n">
        <v>46.55</v>
      </c>
      <c r="E27" s="98">
        <f>D26-D27</f>
        <v/>
      </c>
      <c r="F27" s="99">
        <f>E27/(B27-B26)</f>
        <v/>
      </c>
      <c r="G27" s="100">
        <f>F27*60</f>
        <v/>
      </c>
    </row>
    <row r="28">
      <c r="A28" s="53" t="inlineStr">
        <is>
          <t>12:00</t>
        </is>
      </c>
      <c r="B28" s="96" t="n">
        <v>720</v>
      </c>
      <c r="C28" s="97" t="n">
        <v>12</v>
      </c>
      <c r="D28" s="98" t="n">
        <v>46.4</v>
      </c>
      <c r="E28" s="98">
        <f>D27-D28</f>
        <v/>
      </c>
      <c r="F28" s="99">
        <f>E28/(B28-B27)</f>
        <v/>
      </c>
      <c r="G28" s="100">
        <f>F28*60</f>
        <v/>
      </c>
    </row>
    <row r="29">
      <c r="A29" s="53" t="inlineStr">
        <is>
          <t>12:30</t>
        </is>
      </c>
      <c r="B29" s="96" t="n">
        <v>750</v>
      </c>
      <c r="C29" s="97" t="n">
        <v>12.5</v>
      </c>
      <c r="D29" s="98" t="n">
        <v>46.2</v>
      </c>
      <c r="E29" s="98">
        <f>D28-D29</f>
        <v/>
      </c>
      <c r="F29" s="99">
        <f>E29/(B29-B28)</f>
        <v/>
      </c>
      <c r="G29" s="100">
        <f>F29*60</f>
        <v/>
      </c>
    </row>
    <row r="30">
      <c r="A30" s="53" t="inlineStr">
        <is>
          <t>13:00</t>
        </is>
      </c>
      <c r="B30" s="96" t="n">
        <v>780</v>
      </c>
      <c r="C30" s="97" t="n">
        <v>13</v>
      </c>
      <c r="D30" s="98" t="n">
        <v>46.05</v>
      </c>
      <c r="E30" s="98">
        <f>D29-D30</f>
        <v/>
      </c>
      <c r="F30" s="99">
        <f>E30/(B30-B29)</f>
        <v/>
      </c>
      <c r="G30" s="100">
        <f>F30*60</f>
        <v/>
      </c>
    </row>
    <row r="31">
      <c r="A31" s="53" t="inlineStr">
        <is>
          <t>13:30</t>
        </is>
      </c>
      <c r="B31" s="96" t="n">
        <v>810</v>
      </c>
      <c r="C31" s="97" t="n">
        <v>13.5</v>
      </c>
      <c r="D31" s="98" t="n">
        <v>45.85</v>
      </c>
      <c r="E31" s="98">
        <f>D30-D31</f>
        <v/>
      </c>
      <c r="F31" s="99">
        <f>E31/(B31-B30)</f>
        <v/>
      </c>
      <c r="G31" s="100">
        <f>F31*60</f>
        <v/>
      </c>
      <c r="I31" s="105" t="inlineStr">
        <is>
          <t>Note: Weight loss per 30 s = previous weight − current weight. Mass flow rate is reported as a positive value for weight loss. Average mass flow rate = total weight loss / duration.</t>
        </is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53" t="inlineStr">
        <is>
          <t>14:00</t>
        </is>
      </c>
      <c r="B32" s="96" t="n">
        <v>840</v>
      </c>
      <c r="C32" s="97" t="n">
        <v>14</v>
      </c>
      <c r="D32" s="98" t="n">
        <v>45.65</v>
      </c>
      <c r="E32" s="98">
        <f>D31-D32</f>
        <v/>
      </c>
      <c r="F32" s="99">
        <f>E32/(B32-B31)</f>
        <v/>
      </c>
      <c r="G32" s="100">
        <f>F32*60</f>
        <v/>
      </c>
      <c r="I32" s="1" t="n"/>
      <c r="R32" s="1" t="n"/>
    </row>
    <row r="33">
      <c r="A33" s="53" t="inlineStr">
        <is>
          <t>14:30</t>
        </is>
      </c>
      <c r="B33" s="96" t="n">
        <v>870</v>
      </c>
      <c r="C33" s="97" t="n">
        <v>14.5</v>
      </c>
      <c r="D33" s="98" t="n">
        <v>45.5</v>
      </c>
      <c r="E33" s="98">
        <f>D32-D33</f>
        <v/>
      </c>
      <c r="F33" s="99">
        <f>E33/(B33-B32)</f>
        <v/>
      </c>
      <c r="G33" s="100">
        <f>F33*60</f>
        <v/>
      </c>
      <c r="I33" s="1" t="n"/>
      <c r="R33" s="1" t="n"/>
    </row>
    <row r="34">
      <c r="A34" s="53" t="inlineStr">
        <is>
          <t>15:00</t>
        </is>
      </c>
      <c r="B34" s="96" t="n">
        <v>900</v>
      </c>
      <c r="C34" s="97" t="n">
        <v>15</v>
      </c>
      <c r="D34" s="98" t="n">
        <v>45.3</v>
      </c>
      <c r="E34" s="98">
        <f>D33-D34</f>
        <v/>
      </c>
      <c r="F34" s="99">
        <f>E34/(B34-B33)</f>
        <v/>
      </c>
      <c r="G34" s="100">
        <f>F34*60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53" t="inlineStr">
        <is>
          <t>15:30</t>
        </is>
      </c>
      <c r="B35" s="96" t="n">
        <v>930</v>
      </c>
      <c r="C35" s="97" t="n">
        <v>15.5</v>
      </c>
      <c r="D35" s="98" t="n">
        <v>45.15</v>
      </c>
      <c r="E35" s="98">
        <f>D34-D35</f>
        <v/>
      </c>
      <c r="F35" s="99">
        <f>E35/(B35-B34)</f>
        <v/>
      </c>
      <c r="G35" s="100">
        <f>F35*60</f>
        <v/>
      </c>
    </row>
    <row r="36">
      <c r="A36" s="53" t="inlineStr">
        <is>
          <t>16:00</t>
        </is>
      </c>
      <c r="B36" s="96" t="n">
        <v>960</v>
      </c>
      <c r="C36" s="97" t="n">
        <v>16</v>
      </c>
      <c r="D36" s="98" t="n">
        <v>44.95</v>
      </c>
      <c r="E36" s="98">
        <f>D35-D36</f>
        <v/>
      </c>
      <c r="F36" s="99">
        <f>E36/(B36-B35)</f>
        <v/>
      </c>
      <c r="G36" s="100">
        <f>F36*60</f>
        <v/>
      </c>
    </row>
    <row r="37">
      <c r="A37" s="53" t="inlineStr">
        <is>
          <t>16:30</t>
        </is>
      </c>
      <c r="B37" s="96" t="n">
        <v>990</v>
      </c>
      <c r="C37" s="97" t="n">
        <v>16.5</v>
      </c>
      <c r="D37" s="98" t="n">
        <v>44.7</v>
      </c>
      <c r="E37" s="98">
        <f>D36-D37</f>
        <v/>
      </c>
      <c r="F37" s="99">
        <f>E37/(B37-B36)</f>
        <v/>
      </c>
      <c r="G37" s="100">
        <f>F37*60</f>
        <v/>
      </c>
    </row>
    <row r="38">
      <c r="A38" s="53" t="inlineStr">
        <is>
          <t>17:00</t>
        </is>
      </c>
      <c r="B38" s="96" t="n">
        <v>1020</v>
      </c>
      <c r="C38" s="97" t="n">
        <v>17</v>
      </c>
      <c r="D38" s="98" t="n">
        <v>44.55</v>
      </c>
      <c r="E38" s="98">
        <f>D37-D38</f>
        <v/>
      </c>
      <c r="F38" s="99">
        <f>E38/(B38-B37)</f>
        <v/>
      </c>
      <c r="G38" s="100">
        <f>F38*60</f>
        <v/>
      </c>
    </row>
    <row r="39">
      <c r="A39" s="53" t="inlineStr">
        <is>
          <t>17:30</t>
        </is>
      </c>
      <c r="B39" s="96" t="n">
        <v>1050</v>
      </c>
      <c r="C39" s="97" t="n">
        <v>17.5</v>
      </c>
      <c r="D39" s="98" t="n">
        <v>44.35</v>
      </c>
      <c r="E39" s="98">
        <f>D38-D39</f>
        <v/>
      </c>
      <c r="F39" s="99">
        <f>E39/(B39-B38)</f>
        <v/>
      </c>
      <c r="G39" s="100">
        <f>F39*60</f>
        <v/>
      </c>
    </row>
    <row r="40">
      <c r="A40" s="53" t="inlineStr">
        <is>
          <t>18:00</t>
        </is>
      </c>
      <c r="B40" s="96" t="n">
        <v>1080</v>
      </c>
      <c r="C40" s="97" t="n">
        <v>18</v>
      </c>
      <c r="D40" s="98" t="n">
        <v>44.15</v>
      </c>
      <c r="E40" s="98">
        <f>D39-D40</f>
        <v/>
      </c>
      <c r="F40" s="99">
        <f>E40/(B40-B39)</f>
        <v/>
      </c>
      <c r="G40" s="100">
        <f>F40*60</f>
        <v/>
      </c>
    </row>
    <row r="41">
      <c r="A41" s="53" t="inlineStr">
        <is>
          <t>18:30</t>
        </is>
      </c>
      <c r="B41" s="96" t="n">
        <v>1110</v>
      </c>
      <c r="C41" s="97" t="n">
        <v>18.5</v>
      </c>
      <c r="D41" s="98" t="n">
        <v>43.95</v>
      </c>
      <c r="E41" s="98">
        <f>D40-D41</f>
        <v/>
      </c>
      <c r="F41" s="99">
        <f>E41/(B41-B40)</f>
        <v/>
      </c>
      <c r="G41" s="100">
        <f>F41*60</f>
        <v/>
      </c>
    </row>
    <row r="42">
      <c r="A42" s="53" t="inlineStr">
        <is>
          <t>19:00</t>
        </is>
      </c>
      <c r="B42" s="96" t="n">
        <v>1140</v>
      </c>
      <c r="C42" s="97" t="n">
        <v>19</v>
      </c>
      <c r="D42" s="98" t="n">
        <v>43.8</v>
      </c>
      <c r="E42" s="98">
        <f>D41-D42</f>
        <v/>
      </c>
      <c r="F42" s="99">
        <f>E42/(B42-B41)</f>
        <v/>
      </c>
      <c r="G42" s="100">
        <f>F42*60</f>
        <v/>
      </c>
    </row>
    <row r="43">
      <c r="A43" s="53" t="inlineStr">
        <is>
          <t>19:30</t>
        </is>
      </c>
      <c r="B43" s="96" t="n">
        <v>1170</v>
      </c>
      <c r="C43" s="97" t="n">
        <v>19.5</v>
      </c>
      <c r="D43" s="98" t="n">
        <v>43.6</v>
      </c>
      <c r="E43" s="98">
        <f>D42-D43</f>
        <v/>
      </c>
      <c r="F43" s="99">
        <f>E43/(B43-B42)</f>
        <v/>
      </c>
      <c r="G43" s="100">
        <f>F43*60</f>
        <v/>
      </c>
    </row>
    <row r="44">
      <c r="A44" s="53" t="inlineStr">
        <is>
          <t>20:00</t>
        </is>
      </c>
      <c r="B44" s="96" t="n">
        <v>1200</v>
      </c>
      <c r="C44" s="97" t="n">
        <v>20</v>
      </c>
      <c r="D44" s="98" t="n">
        <v>43.45</v>
      </c>
      <c r="E44" s="98">
        <f>D43-D44</f>
        <v/>
      </c>
      <c r="F44" s="99">
        <f>E44/(B44-B43)</f>
        <v/>
      </c>
      <c r="G44" s="100">
        <f>F44*60</f>
        <v/>
      </c>
    </row>
    <row r="45">
      <c r="A45" s="53" t="inlineStr">
        <is>
          <t>20:30</t>
        </is>
      </c>
      <c r="B45" s="96" t="n">
        <v>1230</v>
      </c>
      <c r="C45" s="97" t="n">
        <v>20.5</v>
      </c>
      <c r="D45" s="98" t="n">
        <v>43.25</v>
      </c>
      <c r="E45" s="98">
        <f>D44-D45</f>
        <v/>
      </c>
      <c r="F45" s="99">
        <f>E45/(B45-B44)</f>
        <v/>
      </c>
      <c r="G45" s="100">
        <f>F45*60</f>
        <v/>
      </c>
    </row>
    <row r="46">
      <c r="A46" s="53" t="inlineStr">
        <is>
          <t>21:00</t>
        </is>
      </c>
      <c r="B46" s="96" t="n">
        <v>1260</v>
      </c>
      <c r="C46" s="97" t="n">
        <v>21</v>
      </c>
      <c r="D46" s="98" t="n">
        <v>43.05</v>
      </c>
      <c r="E46" s="98">
        <f>D45-D46</f>
        <v/>
      </c>
      <c r="F46" s="99">
        <f>E46/(B46-B45)</f>
        <v/>
      </c>
      <c r="G46" s="100">
        <f>F46*60</f>
        <v/>
      </c>
    </row>
    <row r="47">
      <c r="A47" s="53" t="inlineStr">
        <is>
          <t>21:30</t>
        </is>
      </c>
      <c r="B47" s="96" t="n">
        <v>1290</v>
      </c>
      <c r="C47" s="97" t="n">
        <v>21.5</v>
      </c>
      <c r="D47" s="98" t="n">
        <v>42.9</v>
      </c>
      <c r="E47" s="98">
        <f>D46-D47</f>
        <v/>
      </c>
      <c r="F47" s="99">
        <f>E47/(B47-B46)</f>
        <v/>
      </c>
      <c r="G47" s="100">
        <f>F47*60</f>
        <v/>
      </c>
    </row>
    <row r="48">
      <c r="A48" s="53" t="inlineStr">
        <is>
          <t>22:00</t>
        </is>
      </c>
      <c r="B48" s="96" t="n">
        <v>1320</v>
      </c>
      <c r="C48" s="97" t="n">
        <v>22</v>
      </c>
      <c r="D48" s="98" t="n">
        <v>42.7</v>
      </c>
      <c r="E48" s="98">
        <f>D47-D48</f>
        <v/>
      </c>
      <c r="F48" s="99">
        <f>E48/(B48-B47)</f>
        <v/>
      </c>
      <c r="G48" s="100">
        <f>F48*60</f>
        <v/>
      </c>
    </row>
    <row r="49">
      <c r="A49" s="53" t="inlineStr">
        <is>
          <t>22:30</t>
        </is>
      </c>
      <c r="B49" s="96" t="n">
        <v>1350</v>
      </c>
      <c r="C49" s="97" t="n">
        <v>22.5</v>
      </c>
      <c r="D49" s="98" t="n">
        <v>42.55</v>
      </c>
      <c r="E49" s="98">
        <f>D48-D49</f>
        <v/>
      </c>
      <c r="F49" s="99">
        <f>E49/(B49-B48)</f>
        <v/>
      </c>
      <c r="G49" s="100">
        <f>F49*60</f>
        <v/>
      </c>
    </row>
    <row r="50">
      <c r="A50" s="53" t="inlineStr">
        <is>
          <t>23:00</t>
        </is>
      </c>
      <c r="B50" s="96" t="n">
        <v>1380</v>
      </c>
      <c r="C50" s="97" t="n">
        <v>23</v>
      </c>
      <c r="D50" s="98" t="n">
        <v>42.35</v>
      </c>
      <c r="E50" s="98">
        <f>D49-D50</f>
        <v/>
      </c>
      <c r="F50" s="99">
        <f>E50/(B50-B49)</f>
        <v/>
      </c>
      <c r="G50" s="100">
        <f>F50*60</f>
        <v/>
      </c>
    </row>
    <row r="51">
      <c r="A51" s="53" t="inlineStr">
        <is>
          <t>23:30</t>
        </is>
      </c>
      <c r="B51" s="96" t="n">
        <v>1410</v>
      </c>
      <c r="C51" s="97" t="n">
        <v>23.5</v>
      </c>
      <c r="D51" s="98" t="n">
        <v>42.2</v>
      </c>
      <c r="E51" s="98">
        <f>D50-D51</f>
        <v/>
      </c>
      <c r="F51" s="99">
        <f>E51/(B51-B50)</f>
        <v/>
      </c>
      <c r="G51" s="100">
        <f>F51*60</f>
        <v/>
      </c>
    </row>
    <row r="52">
      <c r="A52" s="53" t="inlineStr">
        <is>
          <t>24:00</t>
        </is>
      </c>
      <c r="B52" s="96" t="n">
        <v>1440</v>
      </c>
      <c r="C52" s="97" t="n">
        <v>24</v>
      </c>
      <c r="D52" s="98" t="n">
        <v>42</v>
      </c>
      <c r="E52" s="98">
        <f>D51-D52</f>
        <v/>
      </c>
      <c r="F52" s="99">
        <f>E52/(B52-B51)</f>
        <v/>
      </c>
      <c r="G52" s="100">
        <f>F52*60</f>
        <v/>
      </c>
    </row>
    <row r="53">
      <c r="A53" s="53" t="inlineStr">
        <is>
          <t>24:30</t>
        </is>
      </c>
      <c r="B53" s="96" t="n">
        <v>1470</v>
      </c>
      <c r="C53" s="97" t="n">
        <v>24.5</v>
      </c>
      <c r="D53" s="98" t="n">
        <v>41.8</v>
      </c>
      <c r="E53" s="98">
        <f>D52-D53</f>
        <v/>
      </c>
      <c r="F53" s="99">
        <f>E53/(B53-B52)</f>
        <v/>
      </c>
      <c r="G53" s="100">
        <f>F53*60</f>
        <v/>
      </c>
    </row>
    <row r="54">
      <c r="A54" s="53" t="inlineStr">
        <is>
          <t>25:00</t>
        </is>
      </c>
      <c r="B54" s="96" t="n">
        <v>1500</v>
      </c>
      <c r="C54" s="97" t="n">
        <v>25</v>
      </c>
      <c r="D54" s="98" t="n">
        <v>41.65</v>
      </c>
      <c r="E54" s="98">
        <f>D53-D54</f>
        <v/>
      </c>
      <c r="F54" s="99">
        <f>E54/(B54-B53)</f>
        <v/>
      </c>
      <c r="G54" s="100">
        <f>F54*60</f>
        <v/>
      </c>
    </row>
    <row r="55">
      <c r="A55" s="53" t="inlineStr">
        <is>
          <t>25:30</t>
        </is>
      </c>
      <c r="B55" s="96" t="n">
        <v>1530</v>
      </c>
      <c r="C55" s="97" t="n">
        <v>25.5</v>
      </c>
      <c r="D55" s="98" t="n">
        <v>41.45</v>
      </c>
      <c r="E55" s="98">
        <f>D54-D55</f>
        <v/>
      </c>
      <c r="F55" s="99">
        <f>E55/(B55-B54)</f>
        <v/>
      </c>
      <c r="G55" s="100">
        <f>F55*60</f>
        <v/>
      </c>
    </row>
    <row r="56">
      <c r="A56" s="53" t="inlineStr">
        <is>
          <t>26:00</t>
        </is>
      </c>
      <c r="B56" s="96" t="n">
        <v>1560</v>
      </c>
      <c r="C56" s="97" t="n">
        <v>26</v>
      </c>
      <c r="D56" s="98" t="n">
        <v>41.3</v>
      </c>
      <c r="E56" s="98">
        <f>D55-D56</f>
        <v/>
      </c>
      <c r="F56" s="99">
        <f>E56/(B56-B55)</f>
        <v/>
      </c>
      <c r="G56" s="100">
        <f>F56*60</f>
        <v/>
      </c>
    </row>
    <row r="57">
      <c r="A57" s="53" t="inlineStr">
        <is>
          <t>26:30</t>
        </is>
      </c>
      <c r="B57" s="96" t="n">
        <v>1590</v>
      </c>
      <c r="C57" s="97" t="n">
        <v>26.5</v>
      </c>
      <c r="D57" s="98" t="n">
        <v>41.15</v>
      </c>
      <c r="E57" s="98">
        <f>D56-D57</f>
        <v/>
      </c>
      <c r="F57" s="99">
        <f>E57/(B57-B56)</f>
        <v/>
      </c>
      <c r="G57" s="100">
        <f>F57*60</f>
        <v/>
      </c>
    </row>
    <row r="58">
      <c r="A58" s="53" t="inlineStr">
        <is>
          <t>27:00</t>
        </is>
      </c>
      <c r="B58" s="96" t="n">
        <v>1620</v>
      </c>
      <c r="C58" s="97" t="n">
        <v>27</v>
      </c>
      <c r="D58" s="98" t="n">
        <v>40.95</v>
      </c>
      <c r="E58" s="98">
        <f>D57-D58</f>
        <v/>
      </c>
      <c r="F58" s="99">
        <f>E58/(B58-B57)</f>
        <v/>
      </c>
      <c r="G58" s="100">
        <f>F58*60</f>
        <v/>
      </c>
    </row>
    <row r="59">
      <c r="A59" s="53" t="inlineStr">
        <is>
          <t>27:30</t>
        </is>
      </c>
      <c r="B59" s="96" t="n">
        <v>1650</v>
      </c>
      <c r="C59" s="97" t="n">
        <v>27.5</v>
      </c>
      <c r="D59" s="98" t="n">
        <v>40.8</v>
      </c>
      <c r="E59" s="98">
        <f>D58-D59</f>
        <v/>
      </c>
      <c r="F59" s="99">
        <f>E59/(B59-B58)</f>
        <v/>
      </c>
      <c r="G59" s="100">
        <f>F59*60</f>
        <v/>
      </c>
    </row>
    <row r="60">
      <c r="A60" s="53" t="inlineStr">
        <is>
          <t>28:00</t>
        </is>
      </c>
      <c r="B60" s="96" t="n">
        <v>1680</v>
      </c>
      <c r="C60" s="97" t="n">
        <v>28</v>
      </c>
      <c r="D60" s="98" t="n">
        <v>40.6</v>
      </c>
      <c r="E60" s="98">
        <f>D59-D60</f>
        <v/>
      </c>
      <c r="F60" s="99">
        <f>E60/(B60-B59)</f>
        <v/>
      </c>
      <c r="G60" s="100">
        <f>F60*60</f>
        <v/>
      </c>
    </row>
    <row r="61">
      <c r="A61" s="53" t="inlineStr">
        <is>
          <t>28:30</t>
        </is>
      </c>
      <c r="B61" s="96" t="n">
        <v>1710</v>
      </c>
      <c r="C61" s="97" t="n">
        <v>28.5</v>
      </c>
      <c r="D61" s="98" t="n">
        <v>40.45</v>
      </c>
      <c r="E61" s="98">
        <f>D60-D61</f>
        <v/>
      </c>
      <c r="F61" s="99">
        <f>E61/(B61-B60)</f>
        <v/>
      </c>
      <c r="G61" s="100">
        <f>F61*60</f>
        <v/>
      </c>
    </row>
    <row r="62">
      <c r="A62" s="53" t="inlineStr">
        <is>
          <t>29:00</t>
        </is>
      </c>
      <c r="B62" s="96" t="n">
        <v>1740</v>
      </c>
      <c r="C62" s="97" t="n">
        <v>29</v>
      </c>
      <c r="D62" s="98" t="n">
        <v>40.3</v>
      </c>
      <c r="E62" s="98">
        <f>D61-D62</f>
        <v/>
      </c>
      <c r="F62" s="99">
        <f>E62/(B62-B61)</f>
        <v/>
      </c>
      <c r="G62" s="100">
        <f>F62*60</f>
        <v/>
      </c>
    </row>
    <row r="63">
      <c r="A63" s="53" t="inlineStr">
        <is>
          <t>29:30</t>
        </is>
      </c>
      <c r="B63" s="96" t="n">
        <v>1770</v>
      </c>
      <c r="C63" s="97" t="n">
        <v>29.5</v>
      </c>
      <c r="D63" s="98" t="n">
        <v>40.15</v>
      </c>
      <c r="E63" s="98">
        <f>D62-D63</f>
        <v/>
      </c>
      <c r="F63" s="99">
        <f>E63/(B63-B62)</f>
        <v/>
      </c>
      <c r="G63" s="100">
        <f>F63*60</f>
        <v/>
      </c>
    </row>
    <row r="64">
      <c r="A64" s="53" t="inlineStr">
        <is>
          <t>30:00</t>
        </is>
      </c>
      <c r="B64" s="96" t="n">
        <v>1800</v>
      </c>
      <c r="C64" s="97" t="n">
        <v>30</v>
      </c>
      <c r="D64" s="98" t="n">
        <v>39.95</v>
      </c>
      <c r="E64" s="98">
        <f>D63-D64</f>
        <v/>
      </c>
      <c r="F64" s="99">
        <f>E64/(B64-B63)</f>
        <v/>
      </c>
      <c r="G64" s="100">
        <f>F64*60</f>
        <v/>
      </c>
    </row>
    <row r="65">
      <c r="A65" s="53" t="inlineStr">
        <is>
          <t>30:30</t>
        </is>
      </c>
      <c r="B65" s="96" t="n">
        <v>1830</v>
      </c>
      <c r="C65" s="97" t="n">
        <v>30.5</v>
      </c>
      <c r="D65" s="98" t="n">
        <v>39.8</v>
      </c>
      <c r="E65" s="98">
        <f>D64-D65</f>
        <v/>
      </c>
      <c r="F65" s="99">
        <f>E65/(B65-B64)</f>
        <v/>
      </c>
      <c r="G65" s="100">
        <f>F65*60</f>
        <v/>
      </c>
    </row>
    <row r="66">
      <c r="A66" s="53" t="inlineStr">
        <is>
          <t>31:00</t>
        </is>
      </c>
      <c r="B66" s="96" t="n">
        <v>1860</v>
      </c>
      <c r="C66" s="97" t="n">
        <v>31</v>
      </c>
      <c r="D66" s="98" t="n">
        <v>39.65</v>
      </c>
      <c r="E66" s="98">
        <f>D65-D66</f>
        <v/>
      </c>
      <c r="F66" s="99">
        <f>E66/(B66-B65)</f>
        <v/>
      </c>
      <c r="G66" s="100">
        <f>F66*60</f>
        <v/>
      </c>
    </row>
    <row r="67">
      <c r="A67" s="53" t="inlineStr">
        <is>
          <t>31:30</t>
        </is>
      </c>
      <c r="B67" s="96" t="n">
        <v>1890</v>
      </c>
      <c r="C67" s="97" t="n">
        <v>31.5</v>
      </c>
      <c r="D67" s="98" t="n">
        <v>39.5</v>
      </c>
      <c r="E67" s="98">
        <f>D66-D67</f>
        <v/>
      </c>
      <c r="F67" s="99">
        <f>E67/(B67-B66)</f>
        <v/>
      </c>
      <c r="G67" s="100">
        <f>F67*60</f>
        <v/>
      </c>
    </row>
    <row r="68">
      <c r="A68" s="53" t="inlineStr">
        <is>
          <t>32:00</t>
        </is>
      </c>
      <c r="B68" s="96" t="n">
        <v>1920</v>
      </c>
      <c r="C68" s="97" t="n">
        <v>32</v>
      </c>
      <c r="D68" s="98" t="n">
        <v>39.35</v>
      </c>
      <c r="E68" s="98">
        <f>D67-D68</f>
        <v/>
      </c>
      <c r="F68" s="99">
        <f>E68/(B68-B67)</f>
        <v/>
      </c>
      <c r="G68" s="100">
        <f>F68*60</f>
        <v/>
      </c>
    </row>
    <row r="69">
      <c r="A69" s="53" t="inlineStr">
        <is>
          <t>32:30</t>
        </is>
      </c>
      <c r="B69" s="96" t="n">
        <v>1950</v>
      </c>
      <c r="C69" s="97" t="n">
        <v>32.5</v>
      </c>
      <c r="D69" s="98" t="n">
        <v>39.15</v>
      </c>
      <c r="E69" s="98">
        <f>D68-D69</f>
        <v/>
      </c>
      <c r="F69" s="99">
        <f>E69/(B69-B68)</f>
        <v/>
      </c>
      <c r="G69" s="100">
        <f>F69*60</f>
        <v/>
      </c>
    </row>
    <row r="70">
      <c r="A70" s="53" t="inlineStr">
        <is>
          <t>33:00</t>
        </is>
      </c>
      <c r="B70" s="96" t="n">
        <v>1980</v>
      </c>
      <c r="C70" s="97" t="n">
        <v>33</v>
      </c>
      <c r="D70" s="98" t="n">
        <v>39</v>
      </c>
      <c r="E70" s="98">
        <f>D69-D70</f>
        <v/>
      </c>
      <c r="F70" s="99">
        <f>E70/(B70-B69)</f>
        <v/>
      </c>
      <c r="G70" s="100">
        <f>F70*60</f>
        <v/>
      </c>
    </row>
    <row r="71">
      <c r="A71" s="53" t="inlineStr">
        <is>
          <t>33:30</t>
        </is>
      </c>
      <c r="B71" s="96" t="n">
        <v>2010</v>
      </c>
      <c r="C71" s="97" t="n">
        <v>33.5</v>
      </c>
      <c r="D71" s="98" t="n">
        <v>38.85</v>
      </c>
      <c r="E71" s="98">
        <f>D70-D71</f>
        <v/>
      </c>
      <c r="F71" s="99">
        <f>E71/(B71-B70)</f>
        <v/>
      </c>
      <c r="G71" s="100">
        <f>F71*60</f>
        <v/>
      </c>
    </row>
    <row r="72">
      <c r="A72" s="53" t="inlineStr">
        <is>
          <t>34:00</t>
        </is>
      </c>
      <c r="B72" s="96" t="n">
        <v>2040</v>
      </c>
      <c r="C72" s="97" t="n">
        <v>34</v>
      </c>
      <c r="D72" s="98" t="n">
        <v>38.7</v>
      </c>
      <c r="E72" s="98">
        <f>D71-D72</f>
        <v/>
      </c>
      <c r="F72" s="99">
        <f>E72/(B72-B71)</f>
        <v/>
      </c>
      <c r="G72" s="100">
        <f>F72*60</f>
        <v/>
      </c>
    </row>
    <row r="73">
      <c r="A73" s="53" t="inlineStr">
        <is>
          <t>34:30</t>
        </is>
      </c>
      <c r="B73" s="96" t="n">
        <v>2070</v>
      </c>
      <c r="C73" s="97" t="n">
        <v>34.5</v>
      </c>
      <c r="D73" s="98" t="n">
        <v>38.5</v>
      </c>
      <c r="E73" s="98">
        <f>D72-D73</f>
        <v/>
      </c>
      <c r="F73" s="99">
        <f>E73/(B73-B72)</f>
        <v/>
      </c>
      <c r="G73" s="100">
        <f>F73*60</f>
        <v/>
      </c>
    </row>
    <row r="74">
      <c r="A74" s="53" t="inlineStr">
        <is>
          <t>35:00</t>
        </is>
      </c>
      <c r="B74" s="96" t="n">
        <v>2100</v>
      </c>
      <c r="C74" s="97" t="n">
        <v>35</v>
      </c>
      <c r="D74" s="98" t="n">
        <v>38.35</v>
      </c>
      <c r="E74" s="98">
        <f>D73-D74</f>
        <v/>
      </c>
      <c r="F74" s="99">
        <f>E74/(B74-B73)</f>
        <v/>
      </c>
      <c r="G74" s="100">
        <f>F74*60</f>
        <v/>
      </c>
    </row>
    <row r="75">
      <c r="A75" s="53" t="inlineStr">
        <is>
          <t>35:30</t>
        </is>
      </c>
      <c r="B75" s="96" t="n">
        <v>2130</v>
      </c>
      <c r="C75" s="97" t="n">
        <v>35.5</v>
      </c>
      <c r="D75" s="98" t="n">
        <v>38.2</v>
      </c>
      <c r="E75" s="98">
        <f>D74-D75</f>
        <v/>
      </c>
      <c r="F75" s="99">
        <f>E75/(B75-B74)</f>
        <v/>
      </c>
      <c r="G75" s="100">
        <f>F75*60</f>
        <v/>
      </c>
    </row>
    <row r="76">
      <c r="A76" s="55" t="inlineStr">
        <is>
          <t>36:00</t>
        </is>
      </c>
      <c r="B76" s="106" t="n">
        <v>2160</v>
      </c>
      <c r="C76" s="107" t="n">
        <v>36</v>
      </c>
      <c r="D76" s="108" t="n">
        <v>38.05</v>
      </c>
      <c r="E76" s="108">
        <f>D75-D76</f>
        <v/>
      </c>
      <c r="F76" s="109">
        <f>E76/(B76-B75)</f>
        <v/>
      </c>
      <c r="G76" s="110">
        <f>F76*60</f>
        <v/>
      </c>
    </row>
  </sheetData>
  <mergeCells count="3">
    <mergeCell ref="A1:G1"/>
    <mergeCell ref="I31:R34"/>
    <mergeCell ref="I1:J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2026-10-08T05:59:34Z</dcterms:created>
  <dcterms:modified xmlns:dcterms="http://purl.org/dc/terms/" xmlns:xsi="http://www.w3.org/2001/XMLSchema-instance" xsi:type="dcterms:W3CDTF">2026-10-08T05:59:34Z</dcterms:modified>
</cp:coreProperties>
</file>